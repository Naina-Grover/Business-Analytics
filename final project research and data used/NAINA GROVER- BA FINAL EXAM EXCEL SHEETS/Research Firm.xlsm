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45" windowWidth="11700" windowHeight="9345"/>
  </bookViews>
  <sheets>
    <sheet name="Research Firm" sheetId="2" r:id="rId1"/>
    <sheet name="SMDA" sheetId="4" state="veryHidden" r:id=""/>
  </sheets>
  <definedNames>
    <definedName name="LSGRGeng_RelaxBounds" localSheetId="0" hidden="1">2</definedName>
    <definedName name="solver_adj" localSheetId="0" hidden="1">'Research Firm'!$C$2:$C$9,'Research Firm'!$D$2:$I$9</definedName>
    <definedName name="solver_adj_ob" localSheetId="0" hidden="1">1</definedName>
    <definedName name="solver_cha" localSheetId="0" hidden="1">0</definedName>
    <definedName name="solver_chc1" localSheetId="0" hidden="1">0</definedName>
    <definedName name="solver_chc2" localSheetId="0" hidden="1">0</definedName>
    <definedName name="solver_chc3" localSheetId="0" hidden="1">0</definedName>
    <definedName name="solver_chc4" localSheetId="0" hidden="1">0</definedName>
    <definedName name="solver_chc5" localSheetId="0" hidden="1">0</definedName>
    <definedName name="solver_chn" localSheetId="0" hidden="1">4</definedName>
    <definedName name="solver_chp1" localSheetId="0" hidden="1">0</definedName>
    <definedName name="solver_chp2" localSheetId="0" hidden="1">0</definedName>
    <definedName name="solver_chp3" localSheetId="0" hidden="1">0</definedName>
    <definedName name="solver_chp4" localSheetId="0" hidden="1">0</definedName>
    <definedName name="solver_chp5" localSheetId="0" hidden="1">0</definedName>
    <definedName name="solver_cht" localSheetId="0" hidden="1">0</definedName>
    <definedName name="solver_cir1" localSheetId="0" hidden="1">1</definedName>
    <definedName name="solver_cir2" localSheetId="0" hidden="1">1</definedName>
    <definedName name="solver_cir3" localSheetId="0" hidden="1">1</definedName>
    <definedName name="solver_cir4" localSheetId="0" hidden="1">1</definedName>
    <definedName name="solver_cir5" localSheetId="0" hidden="1">1</definedName>
    <definedName name="solver_con" localSheetId="0" hidden="1">" "</definedName>
    <definedName name="solver_con1" localSheetId="0" hidden="1">" "</definedName>
    <definedName name="solver_con2" localSheetId="0" hidden="1">" "</definedName>
    <definedName name="solver_con3" localSheetId="0" hidden="1">" "</definedName>
    <definedName name="solver_con4" localSheetId="0" hidden="1">" "</definedName>
    <definedName name="solver_con5" localSheetId="0" hidden="1">" "</definedName>
    <definedName name="solver_cvg" localSheetId="0" hidden="1">0.0001</definedName>
    <definedName name="solver_dia" localSheetId="0" hidden="1">5</definedName>
    <definedName name="solver_drv" localSheetId="0" hidden="1">1</definedName>
    <definedName name="solver_eng" localSheetId="0" hidden="1">2</definedName>
    <definedName name="solver_est" localSheetId="0" hidden="1">1</definedName>
    <definedName name="solver_iao" localSheetId="0" hidden="1">0</definedName>
    <definedName name="solver_ibd" localSheetId="0" hidden="1">2</definedName>
    <definedName name="solver_int" localSheetId="0" hidden="1">0</definedName>
    <definedName name="solver_irs" localSheetId="0" hidden="1">0</definedName>
    <definedName name="solver_ism" localSheetId="0" hidden="1">0</definedName>
    <definedName name="solver_itr" localSheetId="0" hidden="1">100</definedName>
    <definedName name="solver_kiv" localSheetId="0" hidden="1">2E+30</definedName>
    <definedName name="solver_lhs_ob1" localSheetId="0" hidden="1">0</definedName>
    <definedName name="solver_lhs_ob2" localSheetId="0" hidden="1">0</definedName>
    <definedName name="solver_lhs_ob3" localSheetId="0" hidden="1">0</definedName>
    <definedName name="solver_lhs_ob4" localSheetId="0" hidden="1">0</definedName>
    <definedName name="solver_lhs_ob5" localSheetId="0" hidden="1">0</definedName>
    <definedName name="solver_lhs1" localSheetId="0" hidden="1">'Research Firm'!$C$2:$I$9</definedName>
    <definedName name="solver_lhs2" localSheetId="0" hidden="1">'Research Firm'!$D$27:$G$27</definedName>
    <definedName name="solver_lhs3" localSheetId="0" hidden="1">'Research Firm'!$D$27:$G$27</definedName>
    <definedName name="solver_lhs4" localSheetId="0" hidden="1">'Research Firm'!$D$2:$I$9</definedName>
    <definedName name="solver_lhs5" localSheetId="0" hidden="1">'Research Firm'!$H$27:$I$27</definedName>
    <definedName name="solver_lhs6" localSheetId="0" hidden="1">'Research Firm'!$J$27</definedName>
    <definedName name="solver_lhs7" localSheetId="0" hidden="1">'Research Firm'!$K$27</definedName>
    <definedName name="solver_lhs8" localSheetId="0" hidden="1">'Research Firm'!$L$27</definedName>
    <definedName name="solver_lin" localSheetId="0" hidden="1">2</definedName>
    <definedName name="solver_loc" localSheetId="0" hidden="1">1</definedName>
    <definedName name="solver_lva" localSheetId="0" hidden="1">2</definedName>
    <definedName name="solver_mda" localSheetId="0" hidden="1">4</definedName>
    <definedName name="solver_mip" localSheetId="0" hidden="1">5000</definedName>
    <definedName name="solver_mni" localSheetId="0" hidden="1">30</definedName>
    <definedName name="solver_mod" localSheetId="0" hidden="1">3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5000</definedName>
    <definedName name="solver_ntr" localSheetId="0" hidden="1">0</definedName>
    <definedName name="solver_ntri" hidden="1">1000</definedName>
    <definedName name="solver_num" localSheetId="0" hidden="1">8</definedName>
    <definedName name="solver_nwt" localSheetId="0" hidden="1">1</definedName>
    <definedName name="solver_obc" localSheetId="0" hidden="1">0</definedName>
    <definedName name="solver_obp" localSheetId="0" hidden="1">0</definedName>
    <definedName name="solver_ofx" localSheetId="0" hidden="1">2</definedName>
    <definedName name="solver_opt" localSheetId="0" hidden="1">'Research Firm'!$J$10</definedName>
    <definedName name="solver_opt_ob" localSheetId="0" hidden="1">1</definedName>
    <definedName name="solver_piv" localSheetId="0" hidden="1">0.000001</definedName>
    <definedName name="solver_pre" localSheetId="0" hidden="1">0.000001</definedName>
    <definedName name="solver_pro" localSheetId="0" hidden="1">2</definedName>
    <definedName name="solver_psi" localSheetId="0" hidden="1">0</definedName>
    <definedName name="solver_rbv" localSheetId="0" hidden="1">1</definedName>
    <definedName name="solver_rdp" localSheetId="0" hidden="1">0</definedName>
    <definedName name="solver_red" localSheetId="0" hidden="1">0.000001</definedName>
    <definedName name="solver_rel1" localSheetId="0" hidden="1">4</definedName>
    <definedName name="solver_rel2" localSheetId="0" hidden="1">1</definedName>
    <definedName name="solver_rel3" localSheetId="0" hidden="1">3</definedName>
    <definedName name="solver_rel4" localSheetId="0" hidden="1">5</definedName>
    <definedName name="solver_rel5" localSheetId="0" hidden="1">3</definedName>
    <definedName name="solver_rel6" localSheetId="0" hidden="1">3</definedName>
    <definedName name="solver_rel7" localSheetId="0" hidden="1">1</definedName>
    <definedName name="solver_rel8" localSheetId="0" hidden="1">1</definedName>
    <definedName name="solver_reo" localSheetId="0" hidden="1">2</definedName>
    <definedName name="solver_rep" localSheetId="0" hidden="1">2</definedName>
    <definedName name="solver_rhs1" localSheetId="0" hidden="1">integer</definedName>
    <definedName name="solver_rhs2" localSheetId="0" hidden="1">'Research Firm'!$D$29:$G$29</definedName>
    <definedName name="solver_rhs3" localSheetId="0" hidden="1">'Research Firm'!$D$31:$G$31</definedName>
    <definedName name="solver_rhs4" localSheetId="0" hidden="1">binary</definedName>
    <definedName name="solver_rhs5" localSheetId="0" hidden="1">'Research Firm'!$H$31:$I$31</definedName>
    <definedName name="solver_rhs6" localSheetId="0" hidden="1">'Research Firm'!$J$31</definedName>
    <definedName name="solver_rhs7" localSheetId="0" hidden="1">'Research Firm'!$K$29</definedName>
    <definedName name="solver_rhs8" localSheetId="0" hidden="1">'Research Firm'!$L$31</definedName>
    <definedName name="solver_rlx" localSheetId="0" hidden="1">2</definedName>
    <definedName name="solver_rsd" localSheetId="0" hidden="1">0</definedName>
    <definedName name="solver_rsmp" hidden="1">2</definedName>
    <definedName name="solver_rtr" localSheetId="0" hidden="1">0</definedName>
    <definedName name="solver_rxc1" localSheetId="0" hidden="1">1</definedName>
    <definedName name="solver_rxc2" localSheetId="0" hidden="1">1</definedName>
    <definedName name="solver_rxc3" localSheetId="0" hidden="1">1</definedName>
    <definedName name="solver_rxc4" localSheetId="0" hidden="1">1</definedName>
    <definedName name="solver_rxc5" localSheetId="0" hidden="1">1</definedName>
    <definedName name="solver_rxv" localSheetId="0" hidden="1">1</definedName>
    <definedName name="solver_scl" localSheetId="0" hidden="1">2</definedName>
    <definedName name="solver_seed" hidden="1">0</definedName>
    <definedName name="solver_sel" localSheetId="0" hidden="1">1</definedName>
    <definedName name="solver_sho" localSheetId="0" hidden="1">2</definedName>
    <definedName name="solver_slv" localSheetId="0" hidden="1">0</definedName>
    <definedName name="solver_slvu" localSheetId="0" hidden="1">0</definedName>
    <definedName name="solver_ssz" localSheetId="0" hidden="1">100</definedName>
    <definedName name="solver_std" localSheetId="0" hidden="1">1</definedName>
    <definedName name="solver_tim" localSheetId="0" hidden="1">100</definedName>
    <definedName name="solver_tms" localSheetId="0" hidden="1">0</definedName>
    <definedName name="solver_tol" localSheetId="0" hidden="1">0.0005</definedName>
    <definedName name="solver_typ" localSheetId="0" hidden="1">2</definedName>
    <definedName name="solver_umod" localSheetId="0" hidden="1">1</definedName>
    <definedName name="solver_urs" localSheetId="0" hidden="1">0</definedName>
    <definedName name="solver_val" localSheetId="0" hidden="1">0</definedName>
    <definedName name="solver_var" localSheetId="0" hidden="1">" "</definedName>
    <definedName name="solver_ver" localSheetId="0" hidden="1">3</definedName>
    <definedName name="solver_vir" localSheetId="0" hidden="1">1</definedName>
    <definedName name="solver_vol" localSheetId="0" hidden="1">0</definedName>
    <definedName name="solver_vst" localSheetId="0" hidden="1">0</definedName>
  </definedNames>
  <calcPr calcId="144525"/>
</workbook>
</file>

<file path=xl/calcChain.xml><?xml version="1.0" encoding="utf-8"?>
<calcChain xmlns="http://schemas.openxmlformats.org/spreadsheetml/2006/main">
  <c r="L31" i="2" l="1"/>
  <c r="J31" i="2"/>
  <c r="E27" i="2"/>
  <c r="F27" i="2"/>
  <c r="G27" i="2"/>
  <c r="H27" i="2"/>
  <c r="I27" i="2"/>
  <c r="J27" i="2"/>
  <c r="K27" i="2"/>
  <c r="L27" i="2"/>
  <c r="D27" i="2"/>
  <c r="D10" i="2" l="1"/>
  <c r="E10" i="2"/>
  <c r="F10" i="2"/>
  <c r="G10" i="2"/>
  <c r="H10" i="2"/>
  <c r="I10" i="2"/>
  <c r="C10" i="2"/>
  <c r="J10" i="2"/>
</calcChain>
</file>

<file path=xl/comments1.xml><?xml version="1.0" encoding="utf-8"?>
<comments xmlns="http://schemas.openxmlformats.org/spreadsheetml/2006/main">
  <authors>
    <author xml:space="preserve"> </author>
    <author>Nazli Turken</author>
  </authors>
  <commentList>
    <comment ref="C2" author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C3" author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C4" author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C5" author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C6" author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C7" author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C8" author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C9" author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C10" author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D10" author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E10" author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F10" author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G10" author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H10" author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I10" author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J10" authorId="0">
      <text>
        <r>
          <rPr>
            <sz val="8"/>
            <color indexed="81"/>
            <rFont val="Tahoma"/>
            <family val="2"/>
          </rPr>
          <t>Objective cell</t>
        </r>
      </text>
    </comment>
    <comment ref="B12" authorId="1">
      <text>
        <r>
          <rPr>
            <b/>
            <sz val="9"/>
            <color indexed="81"/>
            <rFont val="Tahoma"/>
            <family val="2"/>
          </rPr>
          <t>Nazli Turken:</t>
        </r>
        <r>
          <rPr>
            <sz val="9"/>
            <color indexed="81"/>
            <rFont val="Tahoma"/>
            <family val="2"/>
          </rPr>
          <t xml:space="preserve">
Write constraint RHS value for &gt;= constraints if necessary
</t>
        </r>
      </text>
    </comment>
  </commentList>
</comments>
</file>

<file path=xl/sharedStrings.xml><?xml version="1.0" encoding="utf-8"?>
<sst xmlns="http://schemas.openxmlformats.org/spreadsheetml/2006/main" count="68" uniqueCount="40">
  <si>
    <t>T1</t>
  </si>
  <si>
    <t>T2</t>
  </si>
  <si>
    <t>T3</t>
  </si>
  <si>
    <t>T4</t>
  </si>
  <si>
    <t>Cost</t>
  </si>
  <si>
    <t>Total</t>
  </si>
  <si>
    <t>Number</t>
  </si>
  <si>
    <t>Min</t>
  </si>
  <si>
    <t>Max</t>
  </si>
  <si>
    <t>Con 1</t>
  </si>
  <si>
    <t>Con 3</t>
  </si>
  <si>
    <t>Con 2</t>
  </si>
  <si>
    <t>Con 4</t>
  </si>
  <si>
    <t>Con 5</t>
  </si>
  <si>
    <t>Con 6</t>
  </si>
  <si>
    <t>Z1</t>
  </si>
  <si>
    <t>Z2</t>
  </si>
  <si>
    <t>Z3</t>
  </si>
  <si>
    <t>Z4</t>
  </si>
  <si>
    <t>Objective: Minimize the cost</t>
  </si>
  <si>
    <t>Min Cost: 18T1+ 14T2 + 25T3 + 20T4 + 40Z1+ 35Z2+ 60Z3+ 45Z4 </t>
  </si>
  <si>
    <t>subject to constraints:</t>
  </si>
  <si>
    <t>At least 10% but not more than 60% of the total customers should come from each group:</t>
  </si>
  <si>
    <r>
      <t>35&lt;=T1+Z1&lt;=210</t>
    </r>
    <r>
      <rPr>
        <sz val="10"/>
        <rFont val="Inherit"/>
      </rPr>
      <t> </t>
    </r>
  </si>
  <si>
    <t>35&lt;=T2+Z2&lt;=210</t>
  </si>
  <si>
    <t>35&lt;=T3+Z3&lt;=210</t>
  </si>
  <si>
    <t>35&lt;=T4+Z4&lt;=210</t>
  </si>
  <si>
    <t>At least 50% of the surveyed should be Innovation Research Firm's customers:</t>
  </si>
  <si>
    <r>
      <t>T1+Z1+</t>
    </r>
    <r>
      <rPr>
        <sz val="10"/>
        <rFont val="Inherit"/>
      </rPr>
      <t> </t>
    </r>
    <r>
      <rPr>
        <sz val="10"/>
        <color rgb="FF000000"/>
        <rFont val="Arial"/>
        <family val="2"/>
      </rPr>
      <t>T2+Z2</t>
    </r>
    <r>
      <rPr>
        <sz val="10"/>
        <rFont val="Inherit"/>
      </rPr>
      <t> &gt;= 175</t>
    </r>
  </si>
  <si>
    <t>At least 50% of surveys should be done via Zoom.</t>
  </si>
  <si>
    <r>
      <t>Z1+Z2+ Z3+Z4 &gt;=175</t>
    </r>
    <r>
      <rPr>
        <sz val="10"/>
        <rFont val="Inherit"/>
      </rPr>
      <t> </t>
    </r>
  </si>
  <si>
    <t>At least 50% of the large customers of Innovation Research Firm should be surveyed via Zoom.:</t>
  </si>
  <si>
    <r>
      <t>Z1+Z2+ Z3+Z4 </t>
    </r>
    <r>
      <rPr>
        <sz val="10"/>
        <rFont val="Inherit"/>
      </rPr>
      <t> &gt;=0.5(T1+Z1)</t>
    </r>
  </si>
  <si>
    <t>A maximum of 40% of those surveyed can be small customers:</t>
  </si>
  <si>
    <t>T2+Z2+T4+Z4&lt;=140</t>
  </si>
  <si>
    <t>A maximum of 25% of the small companies surveyed should be done via Zoom:</t>
  </si>
  <si>
    <r>
      <t>Z1+Z2+ Z3+Z4 </t>
    </r>
    <r>
      <rPr>
        <sz val="10"/>
        <rFont val="Inherit"/>
      </rPr>
      <t> &lt;=0.25( </t>
    </r>
    <r>
      <rPr>
        <sz val="10"/>
        <color rgb="FF000000"/>
        <rFont val="Arial"/>
        <family val="2"/>
      </rPr>
      <t>T2+Z2+T4+Z4)</t>
    </r>
  </si>
  <si>
    <t>All are Binary variables, non-negative constraints and integers</t>
  </si>
  <si>
    <t>&lt;=</t>
  </si>
  <si>
    <t>&gt;=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</si>
</sst>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"/>
  </numFmts>
  <fonts count="12">
    <font>
      <sz val="12"/>
      <name val="Arial"/>
    </font>
    <font>
      <b/>
      <sz val="12"/>
      <color indexed="17"/>
      <name val="Arial"/>
      <family val="2"/>
    </font>
    <font>
      <b/>
      <sz val="12"/>
      <color indexed="12"/>
      <name val="Arial"/>
      <family val="2"/>
    </font>
    <font>
      <sz val="8"/>
      <name val="Arial"/>
      <family val="2"/>
    </font>
    <font>
      <b/>
      <sz val="12"/>
      <color indexed="10"/>
      <name val="Arial"/>
      <family val="2"/>
    </font>
    <font>
      <b/>
      <sz val="12"/>
      <name val="Arial"/>
      <family val="2"/>
    </font>
    <font>
      <sz val="8"/>
      <color indexed="81"/>
      <name val="Tahoma"/>
      <family val="2"/>
    </font>
    <font>
      <sz val="12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Inherit"/>
    </font>
    <font>
      <sz val="10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/>
    <xf numFmtId="0" fontId="0" fillId="0" borderId="1" xfId="0" applyBorder="1"/>
    <xf numFmtId="0" fontId="5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164" fontId="2" fillId="2" borderId="3" xfId="0" applyNumberFormat="1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5" fillId="0" borderId="1" xfId="0" applyFont="1" applyBorder="1"/>
    <xf numFmtId="0" fontId="7" fillId="0" borderId="0" xfId="0" applyFont="1"/>
    <xf numFmtId="0" fontId="7" fillId="0" borderId="1" xfId="0" applyFont="1" applyBorder="1"/>
    <xf numFmtId="0" fontId="5" fillId="0" borderId="1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10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4" fillId="2" borderId="0" xfId="0" applyFont="1" applyFill="1" applyBorder="1" applyAlignment="1">
      <alignment horizontal="center"/>
    </xf>
    <xf numFmtId="3" fontId="4" fillId="2" borderId="6" xfId="0" applyNumberFormat="1" applyFont="1" applyFill="1" applyBorder="1" applyAlignment="1">
      <alignment horizontal="center"/>
    </xf>
    <xf numFmtId="3" fontId="4" fillId="2" borderId="0" xfId="0" applyNumberFormat="1" applyFont="1" applyFill="1" applyBorder="1" applyAlignment="1">
      <alignment horizontal="center"/>
    </xf>
    <xf numFmtId="164" fontId="2" fillId="2" borderId="0" xfId="0" applyNumberFormat="1" applyFont="1" applyFill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164" fontId="0" fillId="0" borderId="0" xfId="0" applyNumberForma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1:Q32"/>
  <sheetViews>
    <sheetView tabSelected="1" zoomScale="80" zoomScaleNormal="80" workbookViewId="0">
      <selection activeCell="N15" sqref="N15"/>
    </sheetView>
  </sheetViews>
  <sheetFormatPr defaultRowHeight="15"/>
  <cols>
    <col min="1" max="1" width="4.5546875" customWidth="1"/>
    <col min="2" max="2" width="5" customWidth="1"/>
    <col min="3" max="3" width="9" bestFit="1" customWidth="1"/>
    <col min="4" max="4" width="5.5546875" customWidth="1"/>
    <col min="5" max="6" width="5.5546875" bestFit="1" customWidth="1"/>
    <col min="7" max="7" width="5.6640625" bestFit="1" customWidth="1"/>
    <col min="8" max="8" width="5.5546875" bestFit="1" customWidth="1"/>
    <col min="9" max="9" width="5.6640625" bestFit="1" customWidth="1"/>
  </cols>
  <sheetData>
    <row r="1" spans="2:17" ht="16.5" thickBot="1">
      <c r="B1" s="6"/>
      <c r="C1" s="7" t="s">
        <v>6</v>
      </c>
      <c r="D1" s="16" t="s">
        <v>9</v>
      </c>
      <c r="E1" s="13" t="s">
        <v>11</v>
      </c>
      <c r="F1" s="13" t="s">
        <v>10</v>
      </c>
      <c r="G1" s="13" t="s">
        <v>12</v>
      </c>
      <c r="H1" s="13" t="s">
        <v>13</v>
      </c>
      <c r="I1" s="13" t="s">
        <v>14</v>
      </c>
      <c r="J1" s="7" t="s">
        <v>4</v>
      </c>
      <c r="K1" s="25"/>
    </row>
    <row r="2" spans="2:17" ht="16.5" thickBot="1">
      <c r="B2" t="s">
        <v>0</v>
      </c>
      <c r="C2" s="12">
        <v>70</v>
      </c>
      <c r="D2" s="17">
        <v>0</v>
      </c>
      <c r="E2" s="1">
        <v>0</v>
      </c>
      <c r="F2" s="1">
        <v>0</v>
      </c>
      <c r="G2" s="1">
        <v>0</v>
      </c>
      <c r="H2" s="1">
        <v>0</v>
      </c>
      <c r="I2" s="1">
        <v>0</v>
      </c>
      <c r="J2" s="3">
        <v>18</v>
      </c>
      <c r="K2" s="3"/>
      <c r="Q2" s="18" t="s">
        <v>19</v>
      </c>
    </row>
    <row r="3" spans="2:17" ht="16.5" thickBot="1">
      <c r="B3" t="s">
        <v>1</v>
      </c>
      <c r="C3" s="12">
        <v>0</v>
      </c>
      <c r="D3" s="17">
        <v>0</v>
      </c>
      <c r="E3" s="1">
        <v>0</v>
      </c>
      <c r="F3" s="1">
        <v>0</v>
      </c>
      <c r="G3" s="1">
        <v>0</v>
      </c>
      <c r="H3" s="1">
        <v>0</v>
      </c>
      <c r="I3" s="1">
        <v>0</v>
      </c>
      <c r="J3" s="3">
        <v>14</v>
      </c>
      <c r="K3" s="3"/>
    </row>
    <row r="4" spans="2:17" ht="16.5" thickBot="1">
      <c r="B4" t="s">
        <v>2</v>
      </c>
      <c r="C4" s="12">
        <v>35</v>
      </c>
      <c r="D4" s="17">
        <v>0</v>
      </c>
      <c r="E4" s="1">
        <v>0</v>
      </c>
      <c r="F4" s="1">
        <v>0</v>
      </c>
      <c r="G4" s="1">
        <v>0</v>
      </c>
      <c r="H4" s="1">
        <v>0</v>
      </c>
      <c r="I4" s="1">
        <v>0</v>
      </c>
      <c r="J4" s="3">
        <v>25</v>
      </c>
      <c r="K4" s="3"/>
      <c r="Q4" s="18" t="s">
        <v>20</v>
      </c>
    </row>
    <row r="5" spans="2:17" ht="16.5" thickBot="1">
      <c r="B5" t="s">
        <v>3</v>
      </c>
      <c r="C5" s="12">
        <v>0</v>
      </c>
      <c r="D5" s="17">
        <v>0</v>
      </c>
      <c r="E5" s="1">
        <v>0</v>
      </c>
      <c r="F5" s="1">
        <v>0</v>
      </c>
      <c r="G5" s="1">
        <v>0</v>
      </c>
      <c r="H5" s="1">
        <v>0</v>
      </c>
      <c r="I5" s="1">
        <v>0</v>
      </c>
      <c r="J5" s="3">
        <v>20</v>
      </c>
      <c r="K5" s="3"/>
    </row>
    <row r="6" spans="2:17" ht="16.5" thickBot="1">
      <c r="B6" s="14" t="s">
        <v>15</v>
      </c>
      <c r="C6" s="12">
        <v>0</v>
      </c>
      <c r="D6" s="17">
        <v>0</v>
      </c>
      <c r="E6" s="1">
        <v>0</v>
      </c>
      <c r="F6" s="1">
        <v>0</v>
      </c>
      <c r="G6" s="1">
        <v>0</v>
      </c>
      <c r="H6" s="1">
        <v>0</v>
      </c>
      <c r="I6" s="1">
        <v>0</v>
      </c>
      <c r="J6" s="3">
        <v>40</v>
      </c>
      <c r="K6" s="3"/>
      <c r="Q6" s="18" t="s">
        <v>21</v>
      </c>
    </row>
    <row r="7" spans="2:17" ht="16.5" thickBot="1">
      <c r="B7" s="14" t="s">
        <v>16</v>
      </c>
      <c r="C7" s="12">
        <v>105</v>
      </c>
      <c r="D7" s="17">
        <v>0</v>
      </c>
      <c r="E7" s="1">
        <v>0</v>
      </c>
      <c r="F7" s="1">
        <v>0</v>
      </c>
      <c r="G7" s="1">
        <v>0</v>
      </c>
      <c r="H7" s="1">
        <v>0</v>
      </c>
      <c r="I7" s="1">
        <v>0</v>
      </c>
      <c r="J7" s="3">
        <v>35</v>
      </c>
      <c r="K7" s="3"/>
    </row>
    <row r="8" spans="2:17" ht="16.5" thickBot="1">
      <c r="B8" s="14" t="s">
        <v>17</v>
      </c>
      <c r="C8" s="12">
        <v>0</v>
      </c>
      <c r="D8" s="17">
        <v>0</v>
      </c>
      <c r="E8" s="1">
        <v>0</v>
      </c>
      <c r="F8" s="1">
        <v>0</v>
      </c>
      <c r="G8" s="1">
        <v>0</v>
      </c>
      <c r="H8" s="1">
        <v>0</v>
      </c>
      <c r="I8" s="1">
        <v>0</v>
      </c>
      <c r="J8" s="3">
        <v>60</v>
      </c>
      <c r="K8" s="3"/>
      <c r="Q8" s="18" t="s">
        <v>22</v>
      </c>
    </row>
    <row r="9" spans="2:17" ht="16.5" thickBot="1">
      <c r="B9" s="15" t="s">
        <v>18</v>
      </c>
      <c r="C9" s="12">
        <v>35</v>
      </c>
      <c r="D9" s="17">
        <v>0</v>
      </c>
      <c r="E9" s="8">
        <v>0</v>
      </c>
      <c r="F9" s="8">
        <v>0</v>
      </c>
      <c r="G9" s="8">
        <v>0</v>
      </c>
      <c r="H9" s="8">
        <v>0</v>
      </c>
      <c r="I9" s="8">
        <v>0</v>
      </c>
      <c r="J9" s="9">
        <v>45</v>
      </c>
      <c r="K9" s="26"/>
    </row>
    <row r="10" spans="2:17" ht="17.25" thickTop="1" thickBot="1">
      <c r="B10" s="5" t="s">
        <v>5</v>
      </c>
      <c r="C10" s="10">
        <f>SUM(C2:C9)</f>
        <v>245</v>
      </c>
      <c r="D10" s="10">
        <f t="shared" ref="D10:I10" si="0">SUM(D2:D9)</f>
        <v>0</v>
      </c>
      <c r="E10" s="10">
        <f t="shared" si="0"/>
        <v>0</v>
      </c>
      <c r="F10" s="10">
        <f t="shared" si="0"/>
        <v>0</v>
      </c>
      <c r="G10" s="10">
        <f t="shared" si="0"/>
        <v>0</v>
      </c>
      <c r="H10" s="10">
        <f t="shared" si="0"/>
        <v>0</v>
      </c>
      <c r="I10" s="10">
        <f t="shared" si="0"/>
        <v>0</v>
      </c>
      <c r="J10" s="11">
        <f>SUMPRODUCT(J2:J9,C2:C9)</f>
        <v>7385</v>
      </c>
      <c r="K10" s="23"/>
      <c r="Q10" s="19" t="s">
        <v>23</v>
      </c>
    </row>
    <row r="11" spans="2:17" ht="16.5" thickTop="1">
      <c r="B11" s="5"/>
      <c r="C11" s="20"/>
      <c r="D11" s="21"/>
      <c r="E11" s="22"/>
      <c r="F11" s="22"/>
      <c r="G11" s="22"/>
      <c r="H11" s="22"/>
      <c r="I11" s="22"/>
      <c r="J11" s="23"/>
      <c r="K11" s="23"/>
    </row>
    <row r="12" spans="2:17" ht="15.75">
      <c r="B12" s="5" t="s">
        <v>7</v>
      </c>
      <c r="C12" s="4"/>
      <c r="D12" s="24">
        <v>35</v>
      </c>
      <c r="E12" s="4"/>
      <c r="F12" s="4"/>
      <c r="G12" s="4"/>
      <c r="H12" s="4"/>
      <c r="I12" s="4"/>
      <c r="Q12" s="19" t="s">
        <v>24</v>
      </c>
    </row>
    <row r="13" spans="2:17" ht="15.75">
      <c r="B13" s="5" t="s">
        <v>8</v>
      </c>
      <c r="C13" s="4"/>
      <c r="D13" s="4">
        <v>210</v>
      </c>
      <c r="E13" s="4"/>
      <c r="F13" s="4"/>
      <c r="G13" s="4"/>
      <c r="H13" s="4"/>
      <c r="I13" s="4"/>
      <c r="Q13" s="19" t="s">
        <v>25</v>
      </c>
    </row>
    <row r="14" spans="2:17" ht="15.75">
      <c r="C14" s="2"/>
      <c r="D14" s="2"/>
      <c r="Q14" s="18" t="s">
        <v>26</v>
      </c>
    </row>
    <row r="16" spans="2:17">
      <c r="Q16" s="18" t="s">
        <v>27</v>
      </c>
    </row>
    <row r="17" spans="2:17">
      <c r="Q17" s="19" t="s">
        <v>28</v>
      </c>
    </row>
    <row r="18" spans="2:17" ht="16.5" thickBot="1">
      <c r="B18" s="16"/>
      <c r="C18" s="14"/>
      <c r="D18" s="16" t="s">
        <v>9</v>
      </c>
      <c r="E18" s="16" t="s">
        <v>9</v>
      </c>
      <c r="F18" s="16" t="s">
        <v>9</v>
      </c>
      <c r="G18" s="16" t="s">
        <v>9</v>
      </c>
      <c r="H18" s="13" t="s">
        <v>11</v>
      </c>
      <c r="I18" s="13" t="s">
        <v>10</v>
      </c>
      <c r="J18" s="13" t="s">
        <v>12</v>
      </c>
      <c r="K18" s="13" t="s">
        <v>13</v>
      </c>
      <c r="L18" s="13" t="s">
        <v>14</v>
      </c>
    </row>
    <row r="19" spans="2:17">
      <c r="B19" t="s">
        <v>0</v>
      </c>
      <c r="D19">
        <v>1</v>
      </c>
      <c r="H19">
        <v>1</v>
      </c>
      <c r="L19" s="14"/>
      <c r="M19" s="14"/>
      <c r="N19" s="14"/>
      <c r="O19" s="14"/>
      <c r="Q19" s="18" t="s">
        <v>29</v>
      </c>
    </row>
    <row r="20" spans="2:17">
      <c r="B20" t="s">
        <v>1</v>
      </c>
      <c r="D20">
        <v>0</v>
      </c>
      <c r="E20">
        <v>1</v>
      </c>
      <c r="H20">
        <v>1</v>
      </c>
      <c r="K20">
        <v>1</v>
      </c>
      <c r="M20" s="14"/>
      <c r="Q20" s="19" t="s">
        <v>30</v>
      </c>
    </row>
    <row r="21" spans="2:17">
      <c r="B21" t="s">
        <v>2</v>
      </c>
      <c r="D21">
        <v>0</v>
      </c>
      <c r="F21">
        <v>1</v>
      </c>
      <c r="M21" s="14"/>
    </row>
    <row r="22" spans="2:17">
      <c r="B22" t="s">
        <v>3</v>
      </c>
      <c r="D22">
        <v>0</v>
      </c>
      <c r="G22">
        <v>1</v>
      </c>
      <c r="K22">
        <v>1</v>
      </c>
      <c r="M22" s="14"/>
      <c r="Q22" s="18" t="s">
        <v>31</v>
      </c>
    </row>
    <row r="23" spans="2:17">
      <c r="B23" s="14" t="s">
        <v>15</v>
      </c>
      <c r="D23">
        <v>1</v>
      </c>
      <c r="H23">
        <v>1</v>
      </c>
      <c r="I23">
        <v>1</v>
      </c>
      <c r="J23">
        <v>1</v>
      </c>
      <c r="L23">
        <v>1</v>
      </c>
      <c r="Q23" s="19" t="s">
        <v>32</v>
      </c>
    </row>
    <row r="24" spans="2:17">
      <c r="B24" s="14" t="s">
        <v>16</v>
      </c>
      <c r="D24">
        <v>0</v>
      </c>
      <c r="E24">
        <v>1</v>
      </c>
      <c r="H24">
        <v>1</v>
      </c>
      <c r="I24">
        <v>1</v>
      </c>
      <c r="J24">
        <v>1</v>
      </c>
      <c r="K24">
        <v>1</v>
      </c>
      <c r="L24">
        <v>1</v>
      </c>
    </row>
    <row r="25" spans="2:17">
      <c r="B25" s="14" t="s">
        <v>17</v>
      </c>
      <c r="D25">
        <v>0</v>
      </c>
      <c r="F25">
        <v>1</v>
      </c>
      <c r="I25">
        <v>1</v>
      </c>
      <c r="J25">
        <v>1</v>
      </c>
      <c r="L25">
        <v>1</v>
      </c>
      <c r="Q25" s="18" t="s">
        <v>33</v>
      </c>
    </row>
    <row r="26" spans="2:17" ht="15.75" thickBot="1">
      <c r="B26" s="15" t="s">
        <v>18</v>
      </c>
      <c r="D26">
        <v>0</v>
      </c>
      <c r="G26">
        <v>1</v>
      </c>
      <c r="I26">
        <v>1</v>
      </c>
      <c r="J26">
        <v>1</v>
      </c>
      <c r="K26">
        <v>1</v>
      </c>
      <c r="L26">
        <v>1</v>
      </c>
      <c r="Q26" s="18" t="s">
        <v>34</v>
      </c>
    </row>
    <row r="27" spans="2:17" ht="15.75" thickBot="1">
      <c r="B27" s="15"/>
      <c r="D27">
        <f>SUMPRODUCT(D19:D26,$C$2:$C$9)</f>
        <v>70</v>
      </c>
      <c r="E27">
        <f t="shared" ref="E27:L27" si="1">SUMPRODUCT(E19:E26,$C$2:$C$9)</f>
        <v>105</v>
      </c>
      <c r="F27">
        <f t="shared" si="1"/>
        <v>35</v>
      </c>
      <c r="G27">
        <f t="shared" si="1"/>
        <v>35</v>
      </c>
      <c r="H27">
        <f t="shared" si="1"/>
        <v>175</v>
      </c>
      <c r="I27">
        <f t="shared" si="1"/>
        <v>140</v>
      </c>
      <c r="J27">
        <f t="shared" si="1"/>
        <v>140</v>
      </c>
      <c r="K27">
        <f t="shared" si="1"/>
        <v>140</v>
      </c>
      <c r="L27">
        <f t="shared" si="1"/>
        <v>140</v>
      </c>
      <c r="Q27" s="18"/>
    </row>
    <row r="28" spans="2:17" ht="16.5" thickBot="1">
      <c r="B28" s="13"/>
      <c r="D28" s="14" t="s">
        <v>38</v>
      </c>
      <c r="E28" s="14" t="s">
        <v>38</v>
      </c>
      <c r="F28" s="14" t="s">
        <v>38</v>
      </c>
      <c r="G28" s="14" t="s">
        <v>38</v>
      </c>
      <c r="K28" s="14" t="s">
        <v>38</v>
      </c>
      <c r="L28" s="14" t="s">
        <v>38</v>
      </c>
    </row>
    <row r="29" spans="2:17">
      <c r="D29" s="14">
        <v>210</v>
      </c>
      <c r="E29" s="14">
        <v>210</v>
      </c>
      <c r="F29" s="14">
        <v>210</v>
      </c>
      <c r="G29" s="14">
        <v>210</v>
      </c>
      <c r="K29">
        <v>140</v>
      </c>
      <c r="Q29" s="18" t="s">
        <v>35</v>
      </c>
    </row>
    <row r="30" spans="2:17">
      <c r="D30" s="14" t="s">
        <v>39</v>
      </c>
      <c r="E30" s="14" t="s">
        <v>39</v>
      </c>
      <c r="F30" s="14" t="s">
        <v>39</v>
      </c>
      <c r="G30" s="14" t="s">
        <v>39</v>
      </c>
      <c r="H30" s="14" t="s">
        <v>39</v>
      </c>
      <c r="I30" s="14" t="s">
        <v>39</v>
      </c>
      <c r="J30" s="14" t="s">
        <v>39</v>
      </c>
      <c r="Q30" s="19" t="s">
        <v>36</v>
      </c>
    </row>
    <row r="31" spans="2:17" ht="15.75">
      <c r="D31">
        <v>35</v>
      </c>
      <c r="E31">
        <v>35</v>
      </c>
      <c r="F31">
        <v>35</v>
      </c>
      <c r="G31">
        <v>35</v>
      </c>
      <c r="H31" s="14">
        <v>175</v>
      </c>
      <c r="I31" s="14">
        <v>175</v>
      </c>
      <c r="J31" s="5">
        <f>J32*(C2+C6)</f>
        <v>35</v>
      </c>
      <c r="L31" s="5">
        <f>SUM(C3+C7+C5+C9)</f>
        <v>140</v>
      </c>
    </row>
    <row r="32" spans="2:17">
      <c r="J32">
        <v>0.5</v>
      </c>
      <c r="L32">
        <v>0.25</v>
      </c>
      <c r="Q32" s="14" t="s">
        <v>37</v>
      </c>
    </row>
  </sheetData>
  <phoneticPr fontId="3" type="noConversion"/>
  <pageMargins left="0.75" right="0.75" top="1" bottom="1" header="0.5" footer="0.5"/>
  <headerFooter alignWithMargins="0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Research Firm</vt:lpstr>
    </vt:vector>
  </TitlesOfParts>
  <Company>Va Tech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admin</cp:lastModifiedBy>
  <dcterms:created xsi:type="dcterms:W3CDTF">2005-07-19T18:57:25Z</dcterms:created>
  <dcterms:modified xsi:type="dcterms:W3CDTF">2020-12-15T14:44:05Z</dcterms:modified>
</cp:coreProperties>
</file>